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calcChain+xml" PartName="/xl/calcChai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'1.0' encoding='UTF-8' standalone='yes'?>
<Relationships xmlns="http://schemas.openxmlformats.org/package/2006/relationships">
 <Relationship Target="docProps/app.xml" Type="http://schemas.openxmlformats.org/officeDocument/2006/relationships/extended-properties" Id="rId3"/>
 <Relationship Target="docProps/core.xml" Type="http://schemas.openxmlformats.org/package/2006/relationships/metadata/core-properties" Id="rId2"/>
 <Relationship Target="xl/workbook.xml" Type="http://schemas.openxmlformats.org/officeDocument/2006/relationships/officeDocument" Id="rId1"/>
 <Relationship Target="docProps/custom.xml" Type="http://schemas.openxmlformats.org/officeDocument/2006/relationships/custom-properties" Id="rId4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4930" windowHeight="107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L4" i="1" l="1"/>
  <c r="L19" i="1" l="1"/>
  <c r="I19" i="1"/>
  <c r="L18" i="1"/>
  <c r="I18" i="1"/>
  <c r="L17" i="1"/>
  <c r="I17" i="1"/>
  <c r="L16" i="1"/>
  <c r="I16" i="1"/>
  <c r="L15" i="1"/>
  <c r="I15" i="1"/>
  <c r="L14" i="1"/>
  <c r="I14" i="1"/>
  <c r="L13" i="1"/>
  <c r="I13" i="1"/>
  <c r="L12" i="1"/>
  <c r="I12" i="1"/>
  <c r="L11" i="1"/>
  <c r="K7" i="1" s="1"/>
  <c r="I11" i="1"/>
  <c r="M7" i="1"/>
  <c r="L7" i="1"/>
  <c r="J7" i="1" l="1"/>
</calcChain>
</file>

<file path=xl/sharedStrings.xml><?xml version="1.0" encoding="utf-8"?>
<sst xmlns="http://schemas.openxmlformats.org/spreadsheetml/2006/main" count="56" uniqueCount="46">
  <si>
    <t>至</t>
  </si>
  <si>
    <t>数量</t>
  </si>
  <si>
    <t>查询编码</t>
  </si>
  <si>
    <t>金额</t>
  </si>
  <si>
    <t>日期</t>
  </si>
  <si>
    <t>编码</t>
  </si>
  <si>
    <t>产品名称</t>
  </si>
  <si>
    <t>规格型号</t>
  </si>
  <si>
    <t>单位</t>
  </si>
  <si>
    <t>入  库</t>
  </si>
  <si>
    <t>出  库</t>
  </si>
  <si>
    <t>备注</t>
  </si>
  <si>
    <t>单价</t>
  </si>
  <si>
    <t>产品1</t>
  </si>
  <si>
    <t>规格1</t>
  </si>
  <si>
    <t>个</t>
  </si>
  <si>
    <t>产品2</t>
  </si>
  <si>
    <t>规格2</t>
  </si>
  <si>
    <t>产品3</t>
  </si>
  <si>
    <t>规格3</t>
  </si>
  <si>
    <t>产品4</t>
  </si>
  <si>
    <t>规格4</t>
  </si>
  <si>
    <t>产品5</t>
  </si>
  <si>
    <t>规格5</t>
  </si>
  <si>
    <t>产品6</t>
  </si>
  <si>
    <t>规格6</t>
  </si>
  <si>
    <t>产品7</t>
  </si>
  <si>
    <t>规格7</t>
  </si>
  <si>
    <t>产品出入库明细账-自动查询</t>
    <phoneticPr fontId="1" type="noConversion"/>
  </si>
  <si>
    <t>查询开始日期</t>
    <phoneticPr fontId="1" type="noConversion"/>
  </si>
  <si>
    <t>查询截止日期</t>
    <phoneticPr fontId="1" type="noConversion"/>
  </si>
  <si>
    <t>出库数量</t>
    <phoneticPr fontId="1" type="noConversion"/>
  </si>
  <si>
    <t>入库数量</t>
    <phoneticPr fontId="1" type="noConversion"/>
  </si>
  <si>
    <t>入库金额</t>
    <phoneticPr fontId="1" type="noConversion"/>
  </si>
  <si>
    <t>出库金额</t>
    <phoneticPr fontId="1" type="noConversion"/>
  </si>
  <si>
    <t>H-001</t>
    <phoneticPr fontId="1" type="noConversion"/>
  </si>
  <si>
    <t>H-002</t>
    <phoneticPr fontId="1" type="noConversion"/>
  </si>
  <si>
    <t>H-003</t>
    <phoneticPr fontId="1" type="noConversion"/>
  </si>
  <si>
    <t>H-004</t>
    <phoneticPr fontId="1" type="noConversion"/>
  </si>
  <si>
    <t>H-005</t>
    <phoneticPr fontId="1" type="noConversion"/>
  </si>
  <si>
    <t>H-006</t>
    <phoneticPr fontId="1" type="noConversion"/>
  </si>
  <si>
    <t>H-007</t>
    <phoneticPr fontId="1" type="noConversion"/>
  </si>
  <si>
    <t>xxx科技有限公司</t>
    <phoneticPr fontId="1" type="noConversion"/>
  </si>
  <si>
    <t>出入库负责人：</t>
    <phoneticPr fontId="1" type="noConversion"/>
  </si>
  <si>
    <t>王**</t>
    <phoneticPr fontId="1" type="noConversion"/>
  </si>
  <si>
    <t>今  日  日  期：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</si>
</sst>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76" formatCode="yyyy/m/d;@"/>
    <numFmt numFmtId="177" formatCode="&quot;¥&quot;#,##0.00_);[Red]\(&quot;¥&quot;#,##0.00\)"/>
    <numFmt numFmtId="178" formatCode="&quot;¥&quot;#,##0.0_);[Red]\(&quot;¥&quot;#,##0.0\)"/>
  </numFmts>
  <fonts count="11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28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22"/>
      <color theme="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color theme="5" tint="0.79998168889431442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1E4FF"/>
        <bgColor indexed="64"/>
      </patternFill>
    </fill>
    <fill>
      <patternFill patternType="solid">
        <fgColor rgb="FFE5F0FF"/>
        <bgColor indexed="64"/>
      </patternFill>
    </fill>
    <fill>
      <patternFill patternType="solid">
        <fgColor rgb="FF005ADE"/>
        <bgColor indexed="64"/>
      </patternFill>
    </fill>
  </fills>
  <borders count="12">
    <border>
      <left/>
      <right/>
      <top/>
      <bottom/>
      <diagonal/>
    </border>
    <border>
      <left style="thin">
        <color rgb="FFACB9CA"/>
      </left>
      <right style="thin">
        <color rgb="FFACB9CA"/>
      </right>
      <top style="thin">
        <color rgb="FFACB9CA"/>
      </top>
      <bottom style="thin">
        <color rgb="FFACB9CA"/>
      </bottom>
      <diagonal/>
    </border>
    <border>
      <left/>
      <right/>
      <top/>
      <bottom style="thin">
        <color rgb="FFACB9CA"/>
      </bottom>
      <diagonal/>
    </border>
    <border>
      <left style="thin">
        <color rgb="FFACB9CA"/>
      </left>
      <right/>
      <top style="thin">
        <color rgb="FFACB9CA"/>
      </top>
      <bottom/>
      <diagonal/>
    </border>
    <border>
      <left/>
      <right/>
      <top style="thin">
        <color rgb="FFACB9CA"/>
      </top>
      <bottom/>
      <diagonal/>
    </border>
    <border>
      <left/>
      <right style="thin">
        <color rgb="FFACB9CA"/>
      </right>
      <top style="thin">
        <color rgb="FFACB9CA"/>
      </top>
      <bottom/>
      <diagonal/>
    </border>
    <border>
      <left style="thin">
        <color rgb="FFACB9CA"/>
      </left>
      <right/>
      <top/>
      <bottom/>
      <diagonal/>
    </border>
    <border>
      <left/>
      <right style="thin">
        <color rgb="FFACB9CA"/>
      </right>
      <top/>
      <bottom/>
      <diagonal/>
    </border>
    <border>
      <left style="thin">
        <color rgb="FFACB9CA"/>
      </left>
      <right/>
      <top/>
      <bottom style="thin">
        <color rgb="FFACB9CA"/>
      </bottom>
      <diagonal/>
    </border>
    <border>
      <left/>
      <right style="thin">
        <color rgb="FFACB9CA"/>
      </right>
      <top/>
      <bottom style="thin">
        <color rgb="FFACB9CA"/>
      </bottom>
      <diagonal/>
    </border>
    <border>
      <left style="thin">
        <color rgb="FFACB9CA"/>
      </left>
      <right/>
      <top style="thin">
        <color rgb="FFACB9CA"/>
      </top>
      <bottom style="thin">
        <color theme="0"/>
      </bottom>
      <diagonal/>
    </border>
    <border>
      <left/>
      <right/>
      <top style="thin">
        <color rgb="FFACB9CA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2" borderId="0" xfId="0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43" fontId="2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176" fontId="5" fillId="2" borderId="0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NumberFormat="1" applyFont="1" applyFill="1" applyBorder="1" applyAlignment="1">
      <alignment horizontal="center" vertical="center"/>
    </xf>
    <xf numFmtId="43" fontId="6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14" fontId="3" fillId="2" borderId="0" xfId="0" applyNumberFormat="1" applyFont="1" applyFill="1" applyBorder="1" applyAlignment="1">
      <alignment horizontal="center" vertical="center"/>
    </xf>
    <xf numFmtId="14" fontId="2" fillId="2" borderId="0" xfId="0" applyNumberFormat="1" applyFont="1" applyFill="1" applyBorder="1" applyAlignment="1">
      <alignment horizontal="center" vertical="center"/>
    </xf>
    <xf numFmtId="176" fontId="3" fillId="2" borderId="0" xfId="0" applyNumberFormat="1" applyFont="1" applyFill="1" applyBorder="1" applyAlignment="1">
      <alignment vertical="center"/>
    </xf>
    <xf numFmtId="43" fontId="2" fillId="2" borderId="0" xfId="0" applyNumberFormat="1" applyFont="1" applyFill="1" applyBorder="1" applyAlignme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43" fontId="2" fillId="2" borderId="1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</xf>
    <xf numFmtId="14" fontId="2" fillId="2" borderId="2" xfId="0" applyNumberFormat="1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>
      <alignment vertical="center"/>
    </xf>
    <xf numFmtId="43" fontId="6" fillId="2" borderId="2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76" fontId="4" fillId="2" borderId="0" xfId="0" applyNumberFormat="1" applyFont="1" applyFill="1" applyAlignment="1">
      <alignment vertical="center"/>
    </xf>
    <xf numFmtId="176" fontId="6" fillId="2" borderId="10" xfId="0" applyNumberFormat="1" applyFont="1" applyFill="1" applyBorder="1" applyAlignment="1" applyProtection="1">
      <alignment horizontal="center" vertical="center"/>
    </xf>
    <xf numFmtId="0" fontId="2" fillId="2" borderId="4" xfId="0" applyFont="1" applyFill="1" applyBorder="1" applyAlignment="1" applyProtection="1">
      <alignment horizontal="center" vertical="center"/>
    </xf>
    <xf numFmtId="176" fontId="6" fillId="2" borderId="11" xfId="0" applyNumberFormat="1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>
      <alignment vertical="center"/>
    </xf>
    <xf numFmtId="0" fontId="6" fillId="2" borderId="5" xfId="0" applyFont="1" applyFill="1" applyBorder="1" applyAlignment="1" applyProtection="1">
      <alignment horizontal="center" vertical="center"/>
    </xf>
    <xf numFmtId="14" fontId="2" fillId="2" borderId="8" xfId="0" applyNumberFormat="1" applyFont="1" applyFill="1" applyBorder="1" applyAlignment="1" applyProtection="1">
      <alignment horizontal="center" vertical="center"/>
    </xf>
    <xf numFmtId="0" fontId="2" fillId="2" borderId="9" xfId="0" applyFont="1" applyFill="1" applyBorder="1" applyAlignment="1" applyProtection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43" fontId="6" fillId="2" borderId="4" xfId="0" applyNumberFormat="1" applyFont="1" applyFill="1" applyBorder="1" applyAlignment="1">
      <alignment vertical="center"/>
    </xf>
    <xf numFmtId="0" fontId="7" fillId="2" borderId="4" xfId="0" applyFont="1" applyFill="1" applyBorder="1" applyAlignment="1" applyProtection="1">
      <alignment horizontal="center" vertical="center"/>
    </xf>
    <xf numFmtId="0" fontId="7" fillId="2" borderId="5" xfId="0" applyFont="1" applyFill="1" applyBorder="1" applyAlignment="1" applyProtection="1">
      <alignment horizontal="center" vertical="center"/>
    </xf>
    <xf numFmtId="177" fontId="6" fillId="2" borderId="8" xfId="0" applyNumberFormat="1" applyFont="1" applyFill="1" applyBorder="1" applyAlignment="1">
      <alignment horizontal="center" vertical="center"/>
    </xf>
    <xf numFmtId="0" fontId="6" fillId="2" borderId="9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43" fontId="2" fillId="4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43" fontId="7" fillId="3" borderId="1" xfId="0" applyNumberFormat="1" applyFont="1" applyFill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43" fontId="7" fillId="3" borderId="1" xfId="0" applyNumberFormat="1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/>
    </xf>
    <xf numFmtId="176" fontId="8" fillId="5" borderId="4" xfId="0" applyNumberFormat="1" applyFont="1" applyFill="1" applyBorder="1" applyAlignment="1">
      <alignment horizontal="center" vertical="center"/>
    </xf>
    <xf numFmtId="176" fontId="8" fillId="5" borderId="6" xfId="0" applyNumberFormat="1" applyFont="1" applyFill="1" applyBorder="1" applyAlignment="1">
      <alignment horizontal="center" vertical="center"/>
    </xf>
    <xf numFmtId="176" fontId="8" fillId="5" borderId="0" xfId="0" applyNumberFormat="1" applyFont="1" applyFill="1" applyBorder="1" applyAlignment="1">
      <alignment horizontal="center" vertical="center"/>
    </xf>
    <xf numFmtId="176" fontId="8" fillId="5" borderId="8" xfId="0" applyNumberFormat="1" applyFont="1" applyFill="1" applyBorder="1" applyAlignment="1">
      <alignment horizontal="center" vertical="center"/>
    </xf>
    <xf numFmtId="176" fontId="8" fillId="5" borderId="2" xfId="0" applyNumberFormat="1" applyFont="1" applyFill="1" applyBorder="1" applyAlignment="1">
      <alignment horizontal="center" vertical="center"/>
    </xf>
    <xf numFmtId="176" fontId="8" fillId="5" borderId="2" xfId="0" applyNumberFormat="1" applyFont="1" applyFill="1" applyBorder="1" applyAlignment="1">
      <alignment vertical="center"/>
    </xf>
    <xf numFmtId="176" fontId="9" fillId="5" borderId="2" xfId="0" applyNumberFormat="1" applyFont="1" applyFill="1" applyBorder="1" applyAlignment="1">
      <alignment horizontal="center" vertical="center"/>
    </xf>
    <xf numFmtId="176" fontId="9" fillId="5" borderId="9" xfId="0" applyNumberFormat="1" applyFont="1" applyFill="1" applyBorder="1" applyAlignment="1">
      <alignment horizontal="center" vertical="center"/>
    </xf>
    <xf numFmtId="0" fontId="9" fillId="5" borderId="4" xfId="0" applyNumberFormat="1" applyFont="1" applyFill="1" applyBorder="1" applyAlignment="1">
      <alignment horizontal="center" vertical="center"/>
    </xf>
    <xf numFmtId="43" fontId="9" fillId="5" borderId="4" xfId="0" applyNumberFormat="1" applyFont="1" applyFill="1" applyBorder="1" applyAlignment="1">
      <alignment horizontal="center" vertical="center"/>
    </xf>
    <xf numFmtId="0" fontId="9" fillId="5" borderId="4" xfId="0" applyNumberFormat="1" applyFont="1" applyFill="1" applyBorder="1" applyAlignment="1">
      <alignment vertical="center"/>
    </xf>
    <xf numFmtId="0" fontId="9" fillId="5" borderId="0" xfId="0" applyNumberFormat="1" applyFont="1" applyFill="1" applyBorder="1" applyAlignment="1">
      <alignment horizontal="center" vertical="center"/>
    </xf>
    <xf numFmtId="43" fontId="9" fillId="5" borderId="0" xfId="0" applyNumberFormat="1" applyFont="1" applyFill="1" applyBorder="1" applyAlignment="1">
      <alignment horizontal="center" vertical="center"/>
    </xf>
    <xf numFmtId="0" fontId="9" fillId="5" borderId="0" xfId="0" applyNumberFormat="1" applyFont="1" applyFill="1" applyBorder="1" applyAlignment="1">
      <alignment horizontal="right" vertical="center"/>
    </xf>
    <xf numFmtId="0" fontId="9" fillId="5" borderId="0" xfId="0" applyNumberFormat="1" applyFont="1" applyFill="1" applyBorder="1" applyAlignment="1">
      <alignment horizontal="center" vertical="center"/>
    </xf>
    <xf numFmtId="0" fontId="9" fillId="5" borderId="7" xfId="0" applyNumberFormat="1" applyFont="1" applyFill="1" applyBorder="1" applyAlignment="1">
      <alignment horizontal="center" vertical="center"/>
    </xf>
    <xf numFmtId="0" fontId="9" fillId="5" borderId="2" xfId="0" applyNumberFormat="1" applyFont="1" applyFill="1" applyBorder="1" applyAlignment="1">
      <alignment horizontal="right" vertical="center"/>
    </xf>
    <xf numFmtId="0" fontId="10" fillId="5" borderId="4" xfId="0" applyNumberFormat="1" applyFont="1" applyFill="1" applyBorder="1" applyAlignment="1">
      <alignment horizontal="center" vertical="center"/>
    </xf>
    <xf numFmtId="0" fontId="10" fillId="5" borderId="5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3">
    <dxf>
      <font>
        <color indexed="10"/>
      </font>
    </dxf>
    <dxf>
      <border>
        <bottom style="thin">
          <color indexed="10"/>
        </bottom>
      </border>
    </dxf>
    <dxf>
      <font>
        <color indexed="10"/>
      </font>
    </dxf>
  </dxfs>
  <tableStyles count="0" defaultTableStyle="TableStyleMedium2" defaultPivotStyle="PivotStyleLight16"/>
  <colors>
    <mruColors>
      <color rgb="FFD1E4FF"/>
      <color rgb="FFE5F0FF"/>
      <color rgb="FF579BFF"/>
      <color rgb="FF005ADE"/>
      <color rgb="FFFFFFFF"/>
      <color rgb="FF056AFF"/>
      <color rgb="FFACB9CA"/>
      <color rgb="FF21A675"/>
      <color rgb="FFF0C2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180974</xdr:colOff>
      <xdr:row>5</xdr:row>
      <xdr:rowOff>171450</xdr:rowOff>
    </xdr:from>
    <xdr:to>
      <xdr:col>8</xdr:col>
      <xdr:colOff>38100</xdr:colOff>
      <xdr:row>6</xdr:row>
      <xdr:rowOff>157091</xdr:rowOff>
    </xdr:to>
    <xdr:sp macro="" textlink="">
      <xdr:nvSpPr>
        <xdr:cNvPr id="2" name="Freeform 159"/>
        <xdr:cNvSpPr>
          <a:spLocks/>
        </xdr:cNvSpPr>
      </xdr:nvSpPr>
      <xdr:spPr bwMode="auto">
        <a:xfrm>
          <a:off x="4733924" y="1047750"/>
          <a:ext cx="495301" cy="299966"/>
        </a:xfrm>
        <a:custGeom>
          <a:avLst/>
          <a:gdLst>
            <a:gd name="T0" fmla="*/ 0 w 198"/>
            <a:gd name="T1" fmla="*/ 0 h 237"/>
            <a:gd name="T2" fmla="*/ 0 w 198"/>
            <a:gd name="T3" fmla="*/ 237 h 237"/>
            <a:gd name="T4" fmla="*/ 198 w 198"/>
            <a:gd name="T5" fmla="*/ 118 h 237"/>
            <a:gd name="T6" fmla="*/ 0 w 198"/>
            <a:gd name="T7" fmla="*/ 0 h 23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0" t="0" r="r" b="b"/>
          <a:pathLst>
            <a:path w="198" h="237">
              <a:moveTo>
                <a:pt x="0" y="0"/>
              </a:moveTo>
              <a:lnTo>
                <a:pt x="0" y="237"/>
              </a:lnTo>
              <a:lnTo>
                <a:pt x="198" y="118"/>
              </a:lnTo>
              <a:lnTo>
                <a:pt x="0" y="0"/>
              </a:lnTo>
              <a:close/>
            </a:path>
          </a:pathLst>
        </a:custGeom>
        <a:solidFill>
          <a:srgbClr val="FFC000"/>
        </a:solidFill>
        <a:ln>
          <a:noFill/>
        </a:ln>
        <a:extLst/>
      </xdr:spPr>
      <xdr:txBody>
        <a:bodyPr vert="horz" wrap="square" lIns="91440" tIns="45720" rIns="91440" bIns="45720" numCol="1" anchor="t" anchorCtr="0" compatLnSpc="1">
          <a:prstTxWarp prst="textNoShape">
            <a:avLst/>
          </a:prstTxWarp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showGridLines="0" tabSelected="1" workbookViewId="0">
      <selection activeCell="N1" sqref="A1:N20"/>
    </sheetView>
  </sheetViews>
  <sheetFormatPr defaultColWidth="9" defaultRowHeight="17.25" x14ac:dyDescent="0.15"/>
  <cols>
    <col min="1" max="1" width="1.625" style="5" customWidth="1"/>
    <col min="2" max="2" width="12.375" style="14" customWidth="1"/>
    <col min="3" max="3" width="7.375" style="11" customWidth="1"/>
    <col min="4" max="4" width="12.5" style="5" customWidth="1"/>
    <col min="5" max="5" width="9.875" style="5" customWidth="1"/>
    <col min="6" max="6" width="8.375" style="5" customWidth="1"/>
    <col min="7" max="7" width="6" style="10" customWidth="1"/>
    <col min="8" max="8" width="8.375" style="15" customWidth="1"/>
    <col min="9" max="9" width="9.375" style="15" customWidth="1"/>
    <col min="10" max="10" width="10" style="10" customWidth="1"/>
    <col min="11" max="11" width="10.625" style="15" customWidth="1"/>
    <col min="12" max="12" width="10.5" style="15" customWidth="1"/>
    <col min="13" max="13" width="9" style="5" customWidth="1"/>
    <col min="14" max="14" width="1.625" style="5" customWidth="1"/>
    <col min="15" max="16384" width="9" style="5"/>
  </cols>
  <sheetData>
    <row r="1" spans="1:14" ht="9.9499999999999993" customHeight="1" x14ac:dyDescent="0.15">
      <c r="A1" s="1"/>
      <c r="B1" s="2"/>
      <c r="C1" s="1"/>
      <c r="D1" s="1"/>
      <c r="E1" s="1"/>
      <c r="F1" s="1"/>
      <c r="G1" s="3"/>
      <c r="H1" s="4"/>
      <c r="I1" s="4"/>
      <c r="J1" s="3"/>
      <c r="K1" s="4"/>
      <c r="L1" s="4"/>
    </row>
    <row r="2" spans="1:14" ht="15.75" customHeight="1" x14ac:dyDescent="0.15">
      <c r="A2" s="1"/>
      <c r="B2" s="60" t="s">
        <v>28</v>
      </c>
      <c r="C2" s="61"/>
      <c r="D2" s="61"/>
      <c r="E2" s="61"/>
      <c r="F2" s="61"/>
      <c r="G2" s="69"/>
      <c r="H2" s="70"/>
      <c r="I2" s="71"/>
      <c r="J2" s="78" t="s">
        <v>42</v>
      </c>
      <c r="K2" s="78"/>
      <c r="L2" s="78"/>
      <c r="M2" s="79"/>
    </row>
    <row r="3" spans="1:14" ht="15.75" customHeight="1" x14ac:dyDescent="0.15">
      <c r="A3" s="1"/>
      <c r="B3" s="62"/>
      <c r="C3" s="63"/>
      <c r="D3" s="63"/>
      <c r="E3" s="63"/>
      <c r="F3" s="63"/>
      <c r="G3" s="72"/>
      <c r="H3" s="73"/>
      <c r="I3" s="73"/>
      <c r="J3" s="74" t="s">
        <v>43</v>
      </c>
      <c r="K3" s="74"/>
      <c r="L3" s="75" t="s">
        <v>44</v>
      </c>
      <c r="M3" s="76"/>
    </row>
    <row r="4" spans="1:14" ht="15.75" customHeight="1" x14ac:dyDescent="0.15">
      <c r="A4" s="1"/>
      <c r="B4" s="64"/>
      <c r="C4" s="65"/>
      <c r="D4" s="65"/>
      <c r="E4" s="65"/>
      <c r="F4" s="65"/>
      <c r="G4" s="66"/>
      <c r="H4" s="66"/>
      <c r="I4" s="66"/>
      <c r="J4" s="77" t="s">
        <v>45</v>
      </c>
      <c r="K4" s="77"/>
      <c r="L4" s="67">
        <f ca="1">TODAY()</f>
        <v>44097</v>
      </c>
      <c r="M4" s="68"/>
      <c r="N4" s="31"/>
    </row>
    <row r="5" spans="1:14" ht="6.75" customHeight="1" x14ac:dyDescent="0.15">
      <c r="A5" s="1"/>
      <c r="B5" s="6"/>
      <c r="C5" s="7"/>
      <c r="D5" s="7"/>
      <c r="E5" s="7"/>
      <c r="F5" s="7"/>
      <c r="G5" s="8"/>
      <c r="H5" s="9"/>
      <c r="I5" s="9"/>
      <c r="J5" s="8"/>
      <c r="K5" s="9"/>
      <c r="L5" s="9"/>
    </row>
    <row r="6" spans="1:14" ht="24.95" customHeight="1" x14ac:dyDescent="0.15">
      <c r="A6" s="1"/>
      <c r="B6" s="32" t="s">
        <v>29</v>
      </c>
      <c r="C6" s="33" t="s">
        <v>0</v>
      </c>
      <c r="D6" s="34" t="s">
        <v>30</v>
      </c>
      <c r="E6" s="35"/>
      <c r="F6" s="36" t="s">
        <v>2</v>
      </c>
      <c r="G6" s="5"/>
      <c r="H6" s="24"/>
      <c r="J6" s="39" t="s">
        <v>33</v>
      </c>
      <c r="K6" s="40" t="s">
        <v>34</v>
      </c>
      <c r="L6" s="41" t="s">
        <v>32</v>
      </c>
      <c r="M6" s="42" t="s">
        <v>31</v>
      </c>
    </row>
    <row r="7" spans="1:14" ht="24" customHeight="1" x14ac:dyDescent="0.15">
      <c r="A7" s="1"/>
      <c r="B7" s="37">
        <v>44287</v>
      </c>
      <c r="C7" s="26"/>
      <c r="D7" s="25">
        <v>44316</v>
      </c>
      <c r="E7" s="27"/>
      <c r="F7" s="38" t="s">
        <v>37</v>
      </c>
      <c r="H7" s="10"/>
      <c r="J7" s="43">
        <f>SUMPRODUCT((B11:B727&gt;=B7)*(B11:B727&lt;=D7)*(C11:C727=F7)*(I11:I727))</f>
        <v>550</v>
      </c>
      <c r="K7" s="28">
        <f>SUMPRODUCT((B11:B727&gt;=B7)*(B11:B727&lt;=D7)*(C11:C727=F7)*(L11:L727))</f>
        <v>297</v>
      </c>
      <c r="L7" s="29">
        <f>SUMPRODUCT((B11:B727&gt;=B7)*(B11:B727&lt;=D7)*(C11:C727=F7)*(G11:G727))</f>
        <v>25</v>
      </c>
      <c r="M7" s="44">
        <f>SUMPRODUCT((B11:B727&gt;=B7)*(B11:B727&lt;=D7)*(C11:C727=F7)*(J11:J727))</f>
        <v>11</v>
      </c>
    </row>
    <row r="8" spans="1:14" ht="9.75" customHeight="1" x14ac:dyDescent="0.15">
      <c r="A8" s="1"/>
      <c r="B8" s="2"/>
      <c r="C8" s="1"/>
      <c r="D8" s="1"/>
      <c r="E8" s="1"/>
      <c r="F8" s="1"/>
      <c r="G8" s="3"/>
      <c r="H8" s="4"/>
      <c r="I8" s="4"/>
      <c r="J8" s="3"/>
      <c r="K8" s="4"/>
      <c r="L8" s="4"/>
    </row>
    <row r="9" spans="1:14" ht="25.5" customHeight="1" x14ac:dyDescent="0.15">
      <c r="A9" s="1"/>
      <c r="B9" s="54" t="s">
        <v>4</v>
      </c>
      <c r="C9" s="55" t="s">
        <v>5</v>
      </c>
      <c r="D9" s="55" t="s">
        <v>6</v>
      </c>
      <c r="E9" s="55" t="s">
        <v>7</v>
      </c>
      <c r="F9" s="55" t="s">
        <v>8</v>
      </c>
      <c r="G9" s="56" t="s">
        <v>9</v>
      </c>
      <c r="H9" s="57"/>
      <c r="I9" s="57"/>
      <c r="J9" s="56" t="s">
        <v>10</v>
      </c>
      <c r="K9" s="57"/>
      <c r="L9" s="57"/>
      <c r="M9" s="55" t="s">
        <v>11</v>
      </c>
    </row>
    <row r="10" spans="1:14" ht="27" customHeight="1" x14ac:dyDescent="0.15">
      <c r="A10" s="1"/>
      <c r="B10" s="54"/>
      <c r="C10" s="55"/>
      <c r="D10" s="55"/>
      <c r="E10" s="55"/>
      <c r="F10" s="55"/>
      <c r="G10" s="58" t="s">
        <v>1</v>
      </c>
      <c r="H10" s="59" t="s">
        <v>12</v>
      </c>
      <c r="I10" s="59" t="s">
        <v>3</v>
      </c>
      <c r="J10" s="58" t="s">
        <v>1</v>
      </c>
      <c r="K10" s="59" t="s">
        <v>12</v>
      </c>
      <c r="L10" s="59" t="s">
        <v>3</v>
      </c>
      <c r="M10" s="55"/>
    </row>
    <row r="11" spans="1:14" ht="23.1" customHeight="1" x14ac:dyDescent="0.15">
      <c r="A11" s="11"/>
      <c r="B11" s="16">
        <v>44287</v>
      </c>
      <c r="C11" s="17" t="s">
        <v>35</v>
      </c>
      <c r="D11" s="17" t="s">
        <v>13</v>
      </c>
      <c r="E11" s="17" t="s">
        <v>14</v>
      </c>
      <c r="F11" s="17" t="s">
        <v>15</v>
      </c>
      <c r="G11" s="18">
        <v>11</v>
      </c>
      <c r="H11" s="30">
        <v>28</v>
      </c>
      <c r="I11" s="30">
        <f t="shared" ref="I11:I19" si="0">G11*H11</f>
        <v>308</v>
      </c>
      <c r="J11" s="18">
        <v>25</v>
      </c>
      <c r="K11" s="30">
        <v>14</v>
      </c>
      <c r="L11" s="30">
        <f t="shared" ref="L11:L19" si="1">J11*K11</f>
        <v>350</v>
      </c>
      <c r="M11" s="19"/>
    </row>
    <row r="12" spans="1:14" ht="23.1" customHeight="1" x14ac:dyDescent="0.15">
      <c r="A12" s="12"/>
      <c r="B12" s="45">
        <v>44288</v>
      </c>
      <c r="C12" s="46" t="s">
        <v>36</v>
      </c>
      <c r="D12" s="46" t="s">
        <v>16</v>
      </c>
      <c r="E12" s="46" t="s">
        <v>17</v>
      </c>
      <c r="F12" s="46" t="s">
        <v>15</v>
      </c>
      <c r="G12" s="47">
        <v>15</v>
      </c>
      <c r="H12" s="48">
        <v>15</v>
      </c>
      <c r="I12" s="48">
        <f t="shared" si="0"/>
        <v>225</v>
      </c>
      <c r="J12" s="47">
        <v>20</v>
      </c>
      <c r="K12" s="48">
        <v>18</v>
      </c>
      <c r="L12" s="48">
        <f t="shared" si="1"/>
        <v>360</v>
      </c>
      <c r="M12" s="49"/>
    </row>
    <row r="13" spans="1:14" ht="23.1" customHeight="1" x14ac:dyDescent="0.15">
      <c r="A13" s="12"/>
      <c r="B13" s="16">
        <v>44289</v>
      </c>
      <c r="C13" s="17" t="s">
        <v>37</v>
      </c>
      <c r="D13" s="17" t="s">
        <v>18</v>
      </c>
      <c r="E13" s="17" t="s">
        <v>19</v>
      </c>
      <c r="F13" s="17" t="s">
        <v>15</v>
      </c>
      <c r="G13" s="18">
        <v>25</v>
      </c>
      <c r="H13" s="30">
        <v>22</v>
      </c>
      <c r="I13" s="30">
        <f t="shared" si="0"/>
        <v>550</v>
      </c>
      <c r="J13" s="18">
        <v>11</v>
      </c>
      <c r="K13" s="30">
        <v>27</v>
      </c>
      <c r="L13" s="30">
        <f t="shared" si="1"/>
        <v>297</v>
      </c>
      <c r="M13" s="19"/>
    </row>
    <row r="14" spans="1:14" ht="23.1" customHeight="1" x14ac:dyDescent="0.15">
      <c r="A14" s="12"/>
      <c r="B14" s="45">
        <v>44290</v>
      </c>
      <c r="C14" s="46" t="s">
        <v>38</v>
      </c>
      <c r="D14" s="46" t="s">
        <v>20</v>
      </c>
      <c r="E14" s="46" t="s">
        <v>21</v>
      </c>
      <c r="F14" s="46" t="s">
        <v>15</v>
      </c>
      <c r="G14" s="47">
        <v>18</v>
      </c>
      <c r="H14" s="48">
        <v>35</v>
      </c>
      <c r="I14" s="48">
        <f t="shared" si="0"/>
        <v>630</v>
      </c>
      <c r="J14" s="47">
        <v>10</v>
      </c>
      <c r="K14" s="48">
        <v>25</v>
      </c>
      <c r="L14" s="48">
        <f t="shared" si="1"/>
        <v>250</v>
      </c>
      <c r="M14" s="49"/>
    </row>
    <row r="15" spans="1:14" ht="23.1" customHeight="1" x14ac:dyDescent="0.15">
      <c r="A15" s="12"/>
      <c r="B15" s="16">
        <v>44291</v>
      </c>
      <c r="C15" s="17" t="s">
        <v>39</v>
      </c>
      <c r="D15" s="17" t="s">
        <v>22</v>
      </c>
      <c r="E15" s="17" t="s">
        <v>23</v>
      </c>
      <c r="F15" s="17" t="s">
        <v>15</v>
      </c>
      <c r="G15" s="18">
        <v>23</v>
      </c>
      <c r="H15" s="30">
        <v>32</v>
      </c>
      <c r="I15" s="30">
        <f t="shared" si="0"/>
        <v>736</v>
      </c>
      <c r="J15" s="18">
        <v>10</v>
      </c>
      <c r="K15" s="30">
        <v>17</v>
      </c>
      <c r="L15" s="30">
        <f t="shared" si="1"/>
        <v>170</v>
      </c>
      <c r="M15" s="19"/>
    </row>
    <row r="16" spans="1:14" ht="23.1" customHeight="1" x14ac:dyDescent="0.15">
      <c r="A16" s="12"/>
      <c r="B16" s="45">
        <v>44292</v>
      </c>
      <c r="C16" s="46" t="s">
        <v>40</v>
      </c>
      <c r="D16" s="46" t="s">
        <v>24</v>
      </c>
      <c r="E16" s="46" t="s">
        <v>25</v>
      </c>
      <c r="F16" s="46" t="s">
        <v>15</v>
      </c>
      <c r="G16" s="47">
        <v>11</v>
      </c>
      <c r="H16" s="48">
        <v>18</v>
      </c>
      <c r="I16" s="48">
        <f t="shared" si="0"/>
        <v>198</v>
      </c>
      <c r="J16" s="47">
        <v>8</v>
      </c>
      <c r="K16" s="48">
        <v>14</v>
      </c>
      <c r="L16" s="48">
        <f t="shared" si="1"/>
        <v>112</v>
      </c>
      <c r="M16" s="49"/>
    </row>
    <row r="17" spans="1:13" ht="23.1" customHeight="1" x14ac:dyDescent="0.15">
      <c r="A17" s="12"/>
      <c r="B17" s="16">
        <v>44293</v>
      </c>
      <c r="C17" s="17" t="s">
        <v>41</v>
      </c>
      <c r="D17" s="17" t="s">
        <v>26</v>
      </c>
      <c r="E17" s="17" t="s">
        <v>27</v>
      </c>
      <c r="F17" s="17" t="s">
        <v>15</v>
      </c>
      <c r="G17" s="18">
        <v>14</v>
      </c>
      <c r="H17" s="30">
        <v>33</v>
      </c>
      <c r="I17" s="30">
        <f t="shared" si="0"/>
        <v>462</v>
      </c>
      <c r="J17" s="18">
        <v>8</v>
      </c>
      <c r="K17" s="30">
        <v>14</v>
      </c>
      <c r="L17" s="30">
        <f t="shared" si="1"/>
        <v>112</v>
      </c>
      <c r="M17" s="19"/>
    </row>
    <row r="18" spans="1:13" ht="23.1" customHeight="1" x14ac:dyDescent="0.15">
      <c r="A18" s="13"/>
      <c r="B18" s="50"/>
      <c r="C18" s="51"/>
      <c r="D18" s="51"/>
      <c r="E18" s="51"/>
      <c r="F18" s="51"/>
      <c r="G18" s="52"/>
      <c r="H18" s="53"/>
      <c r="I18" s="53">
        <f t="shared" si="0"/>
        <v>0</v>
      </c>
      <c r="J18" s="52"/>
      <c r="K18" s="53"/>
      <c r="L18" s="53">
        <f t="shared" si="1"/>
        <v>0</v>
      </c>
      <c r="M18" s="49"/>
    </row>
    <row r="19" spans="1:13" ht="23.1" customHeight="1" x14ac:dyDescent="0.15">
      <c r="A19" s="13"/>
      <c r="B19" s="20"/>
      <c r="C19" s="21"/>
      <c r="D19" s="21"/>
      <c r="E19" s="21"/>
      <c r="F19" s="21"/>
      <c r="G19" s="22"/>
      <c r="H19" s="23"/>
      <c r="I19" s="23">
        <f t="shared" si="0"/>
        <v>0</v>
      </c>
      <c r="J19" s="22"/>
      <c r="K19" s="23"/>
      <c r="L19" s="23">
        <f t="shared" si="1"/>
        <v>0</v>
      </c>
      <c r="M19" s="19"/>
    </row>
    <row r="20" spans="1:13" ht="9.9499999999999993" customHeight="1" x14ac:dyDescent="0.15"/>
  </sheetData>
  <mergeCells count="15">
    <mergeCell ref="J3:K3"/>
    <mergeCell ref="J4:K4"/>
    <mergeCell ref="L3:M3"/>
    <mergeCell ref="L4:M4"/>
    <mergeCell ref="G9:I9"/>
    <mergeCell ref="J9:L9"/>
    <mergeCell ref="B9:B10"/>
    <mergeCell ref="C9:C10"/>
    <mergeCell ref="D9:D10"/>
    <mergeCell ref="E9:E10"/>
    <mergeCell ref="F9:F10"/>
    <mergeCell ref="M9:M10"/>
    <mergeCell ref="C6:C7"/>
    <mergeCell ref="B2:F4"/>
    <mergeCell ref="J2:M2"/>
  </mergeCells>
  <phoneticPr fontId="1" type="noConversion"/>
  <conditionalFormatting sqref="D11:F18">
    <cfRule type="expression" dxfId="2" priority="1" stopIfTrue="1">
      <formula>OR($D12="本年累计",$D12=OFFSET($D12,-1,-2)&amp;"月合计")</formula>
    </cfRule>
  </conditionalFormatting>
  <conditionalFormatting sqref="G12:H19 J12:K19 B18:C19">
    <cfRule type="expression" dxfId="1" priority="2" stopIfTrue="1">
      <formula>OR($D12="本年累计",$D12=OFFSET($D12,-1,-2)&amp;"月合计")</formula>
    </cfRule>
  </conditionalFormatting>
  <conditionalFormatting sqref="D19:F19">
    <cfRule type="expression" dxfId="0" priority="7" stopIfTrue="1">
      <formula>OR(#REF!="本年累计",#REF!=OFFSET(#REF!,-1,-2)&amp;"月合计")</formula>
    </cfRule>
  </conditionalFormatting>
  <pageMargins left="0.75" right="0.75" top="1" bottom="1" header="0.5" footer="0.5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2020-09-23T01:39:45Z</dcterms:created>
  <dcterms:modified xsi:type="dcterms:W3CDTF">2020-09-23T01:42:23Z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  <property fmtid="{D5CDD505-2E9C-101B-9397-08002B2CF9AE}" pid="3" name="KSOTemplateUUID">
    <vt:lpwstr>v1.0_mb_PD+PPOHxwrLKvlsALZGTGA==</vt:lpwstr>
  </property>
</Properties>
</file>